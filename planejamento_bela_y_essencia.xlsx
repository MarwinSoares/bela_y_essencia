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92954fb11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9eac6abf765408e"/>
    <x:sheet xmlns:r="http://schemas.openxmlformats.org/officeDocument/2006/relationships" name="Backlog" sheetId="2" r:id="Rf83abcb7447744a5"/>
    <x:sheet xmlns:r="http://schemas.openxmlformats.org/officeDocument/2006/relationships" name="Roadmap" sheetId="3" r:id="Rc55890106c044fc0"/>
    <x:sheet xmlns:r="http://schemas.openxmlformats.org/officeDocument/2006/relationships" name="Inventário atual" sheetId="4" r:id="R4c0bc29fa8c3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%"/>
    <x:numFmt numFmtId="202" formatCode="#,##0"/>
  </x:numFmts>
  <x:fonts count="6">
    <x:font>
      <x:sz val="11"/>
      <x:name val="Carlito"/>
    </x:font>
    <x:font>
      <x:sz val="10"/>
      <x:color rgb="FF2F2926"/>
      <x:name val="Arial"/>
    </x:font>
    <x:font>
      <x:b/>
      <x:sz val="14"/>
      <x:color rgb="FF413631"/>
      <x:name val="Arial"/>
    </x:font>
    <x:font>
      <x:i/>
      <x:sz val="10"/>
      <x:color rgb="FF6F625D"/>
      <x:name val="Arial"/>
    </x:font>
    <x:font>
      <x:b/>
      <x:sz val="10"/>
      <x:color rgb="FFFFFFFF"/>
      <x:name val="Arial"/>
    </x:font>
    <x:font>
      <x:b/>
      <x:sz val="10"/>
      <x:color rgb="FF41363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13631"/>
      </x:patternFill>
    </x:fill>
    <x:fill>
      <x:patternFill patternType="solid">
        <x:fgColor rgb="FFFFFDFA"/>
      </x:patternFill>
    </x:fill>
    <x:fill>
      <x:patternFill patternType="solid">
        <x:fgColor rgb="FFF6E7E5"/>
      </x:patternFill>
    </x:fill>
    <x:fill>
      <x:patternFill patternType="solid">
        <x:fgColor rgb="FFF6EEE8"/>
      </x:patternFill>
    </x:fill>
  </x:fills>
  <x:borders count="7">
    <x:border/>
    <x:border>
      <x:left style="thin">
        <x:color rgb="FF413631"/>
      </x:left>
      <x:top style="thin">
        <x:color rgb="FF413631"/>
      </x:top>
      <x:bottom style="thin">
        <x:color rgb="FF413631"/>
      </x:bottom>
    </x:border>
    <x:border>
      <x:top style="thin">
        <x:color rgb="FF413631"/>
      </x:top>
      <x:bottom style="thin">
        <x:color rgb="FF413631"/>
      </x:bottom>
    </x:border>
    <x:border>
      <x:right style="thin">
        <x:color rgb="FF413631"/>
      </x:right>
      <x:top style="thin">
        <x:color rgb="FF413631"/>
      </x:top>
      <x:bottom style="thin">
        <x:color rgb="FF413631"/>
      </x:bottom>
    </x:border>
    <x:border>
      <x:left style="thin">
        <x:color rgb="FFD8CBC4"/>
      </x:left>
      <x:top style="thin">
        <x:color rgb="FFD8CBC4"/>
      </x:top>
      <x:bottom style="thin">
        <x:color rgb="FFD8CBC4"/>
      </x:bottom>
    </x:border>
    <x:border>
      <x:top style="thin">
        <x:color rgb="FFD8CBC4"/>
      </x:top>
      <x:bottom style="thin">
        <x:color rgb="FFD8CBC4"/>
      </x:bottom>
    </x:border>
    <x:border>
      <x:right style="thin">
        <x:color rgb="FFD8CBC4"/>
      </x:right>
      <x:top style="thin">
        <x:color rgb="FFD8CBC4"/>
      </x:top>
      <x:bottom style="thin">
        <x:color rgb="FFD8CBC4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9">
    <x:dxf>
      <x:font>
        <x:b/>
        <x:color rgb="FF9F1239"/>
      </x:font>
      <x:fill>
        <x:patternFill patternType="solid">
          <x:bgColor rgb="FFFCE4E4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166534"/>
      </x:font>
      <x:fill>
        <x:patternFill patternType="solid">
          <x:bgColor rgb="FFDDEDDD"/>
        </x:patternFill>
      </x:fill>
    </x:dxf>
    <x:dxf>
      <x:font>
        <x:b/>
        <x:color rgb="FF1D4ED8"/>
      </x:font>
      <x:fill>
        <x:patternFill patternType="solid">
          <x:bgColor rgb="FFE3ECF7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9F1239"/>
      </x:font>
      <x:fill>
        <x:patternFill patternType="solid">
          <x:bgColor rgb="FFFCE4E4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166534"/>
      </x:font>
      <x:fill>
        <x:patternFill patternType="solid">
          <x:bgColor rgb="FFDDEDDD"/>
        </x:patternFill>
      </x:fill>
    </x:dxf>
    <x:dxf>
      <x:font>
        <x:b/>
        <x:color rgb="FF1D4ED8"/>
      </x:font>
      <x:fill>
        <x:patternFill patternType="solid">
          <x:bgColor rgb="FFE3ECF7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9F1239"/>
      </x:font>
      <x:fill>
        <x:patternFill patternType="solid">
          <x:bgColor rgb="FFFCE4E4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166534"/>
      </x:font>
      <x:fill>
        <x:patternFill patternType="solid">
          <x:bgColor rgb="FFDDEDDD"/>
        </x:patternFill>
      </x:fill>
    </x:dxf>
    <x:dxf>
      <x:font>
        <x:b/>
        <x:color rgb="FF1D4ED8"/>
      </x:font>
      <x:fill>
        <x:patternFill patternType="solid">
          <x:bgColor rgb="FFE3ECF7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166534"/>
      </x:font>
      <x:fill>
        <x:patternFill patternType="solid">
          <x:bgColor rgb="FFDDEDDD"/>
        </x:patternFill>
      </x:fill>
    </x:dxf>
    <x:dxf>
      <x:font>
        <x:b/>
        <x:color rgb="FF1D4ED8"/>
      </x:font>
      <x:fill>
        <x:patternFill patternType="solid">
          <x:bgColor rgb="FFE3ECF7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166534"/>
      </x:font>
      <x:fill>
        <x:patternFill patternType="solid">
          <x:bgColor rgb="FFDDEDDD"/>
        </x:patternFill>
      </x:fill>
    </x:dxf>
    <x:dxf>
      <x:font>
        <x:b/>
        <x:color rgb="FF1D4ED8"/>
      </x:font>
      <x:fill>
        <x:patternFill patternType="solid">
          <x:bgColor rgb="FFE3ECF7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166534"/>
      </x:font>
      <x:fill>
        <x:patternFill patternType="solid">
          <x:bgColor rgb="FFDDEDDD"/>
        </x:patternFill>
      </x:fill>
    </x:dxf>
    <x:dxf>
      <x:font>
        <x:b/>
        <x:color rgb="FF9F1239"/>
      </x:font>
      <x:fill>
        <x:patternFill patternType="solid">
          <x:bgColor rgb="FFFCE4E4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1D4ED8"/>
      </x:font>
      <x:fill>
        <x:patternFill patternType="solid">
          <x:bgColor rgb="FFE3ECF7"/>
        </x:patternFill>
      </x:fill>
    </x:dxf>
    <x:dxf>
      <x:font>
        <x:b/>
        <x:color rgb="FF166534"/>
      </x:font>
      <x:fill>
        <x:patternFill patternType="solid">
          <x:bgColor rgb="FFDDEDDD"/>
        </x:patternFill>
      </x:fill>
    </x:dxf>
    <x:dxf>
      <x:font>
        <x:b/>
        <x:color rgb="FF9F1239"/>
      </x:font>
      <x:fill>
        <x:patternFill patternType="solid">
          <x:bgColor rgb="FFFCE4E4"/>
        </x:patternFill>
      </x:fill>
    </x:dxf>
    <x:dxf>
      <x:font>
        <x:b/>
        <x:color rgb="FF92400E"/>
      </x:font>
      <x:fill>
        <x:patternFill patternType="solid">
          <x:bgColor rgb="FFF7E7BF"/>
        </x:patternFill>
      </x:fill>
    </x:dxf>
    <x:dxf>
      <x:font>
        <x:b/>
        <x:color rgb="FF1D4ED8"/>
      </x:font>
      <x:fill>
        <x:patternFill patternType="solid">
          <x:bgColor rgb="FFE3EC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0b98d270040c1" /><Relationship Type="http://schemas.openxmlformats.org/officeDocument/2006/relationships/theme" Target="/xl/theme/theme1.xml" Id="R640e71a74c714323" /><Relationship Type="http://schemas.openxmlformats.org/officeDocument/2006/relationships/sharedStrings" Target="/xl/sharedStrings.xml" Id="R9507f14cd9a84e16" /><Relationship Type="http://schemas.openxmlformats.org/officeDocument/2006/relationships/worksheet" Target="/xl/worksheets/sheet1.xml" Id="R19eac6abf765408e" /><Relationship Type="http://schemas.openxmlformats.org/officeDocument/2006/relationships/worksheet" Target="/xl/worksheets/sheet2.xml" Id="Rf83abcb7447744a5" /><Relationship Type="http://schemas.openxmlformats.org/officeDocument/2006/relationships/worksheet" Target="/xl/worksheets/sheet3.xml" Id="Rc55890106c044fc0" /><Relationship Type="http://schemas.openxmlformats.org/officeDocument/2006/relationships/worksheet" Target="/xl/worksheets/sheet4.xml" Id="R4c0bc29fa8c34c0d" /></Relationships>
</file>

<file path=xl/tables/table1.xml><?xml version="1.0" encoding="utf-8"?>
<x:table xmlns:x="http://schemas.openxmlformats.org/spreadsheetml/2006/main" id="1" name="BacklogTable" displayName="BacklogTable" ref="A7:N28" headerRowCount="1" totalsRowCount="0" totalsRowShown="0">
  <x:tableColumns count="14">
    <x:tableColumn id="1" name="ID"/>
    <x:tableColumn id="2" name="Fase"/>
    <x:tableColumn id="3" name="Página ou funcionalidade"/>
    <x:tableColumn id="4" name="Objetivo"/>
    <x:tableColumn id="5" name="Prioridade"/>
    <x:tableColumn id="6" name="Status"/>
    <x:tableColumn id="7" name="Responsável"/>
    <x:tableColumn id="8" name="Dias"/>
    <x:tableColumn id="9" name="Início sugerido"/>
    <x:tableColumn id="10" name="Entrega sugerida"/>
    <x:tableColumn id="11" name="Dependências"/>
    <x:tableColumn id="12" name="Critério de aceite"/>
    <x:tableColumn id="13" name="Observações"/>
    <x:tableColumn id="14" name="MVP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oadmapTable" displayName="RoadmapTable" ref="A5:J15" headerRowCount="1" totalsRowCount="0" totalsRowShown="0">
  <x:tableColumns count="10">
    <x:tableColumn id="1" name="Fase"/>
    <x:tableColumn id="2" name="Objetivo"/>
    <x:tableColumn id="3" name="Início"/>
    <x:tableColumn id="4" name="Entrega"/>
    <x:tableColumn id="5" name="Itens"/>
    <x:tableColumn id="6" name="Dias"/>
    <x:tableColumn id="7" name="Progresso"/>
    <x:tableColumn id="8" name="Status da fase"/>
    <x:tableColumn id="9" name="Risco principal"/>
    <x:tableColumn id="10" name="Entrega da fas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InventoryTable" displayName="InventoryTable" ref="A5:D15" headerRowCount="1" totalsRowCount="0" totalsRowShown="0">
  <x:tableColumns count="4">
    <x:tableColumn id="1" name="Item"/>
    <x:tableColumn id="2" name="Situação"/>
    <x:tableColumn id="3" name="Evidência"/>
    <x:tableColumn id="4" name="Próxima açã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77af6b68044f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37f049975942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b348a8fea04d99" /></Relationships>
</file>

<file path=xl/worksheets/sheet1.xml><?xml version="1.0" encoding="utf-8"?>
<x:worksheet xmlns:x="http://schemas.openxmlformats.org/spreadsheetml/2006/main">
  <x:sheetPr>
    <x:tabColor rgb="FF413631"/>
  </x:sheetPr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4" hidden="0" customWidth="1"/>
    <x:col min="5" max="5" width="18" hidden="0" customWidth="1"/>
    <x:col min="6" max="6" width="12" hidden="0" customWidth="1"/>
    <x:col min="7" max="7" width="4" hidden="0" customWidth="1"/>
    <x:col min="8" max="8" width="24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6.799999237060547" hidden="0" customHeight="1">
      <x:c r="A2" s="3" t="str">
        <x:v>Planejamento do sistema Bela y Essência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4" t="str">
        <x:v>Baseado nos arquivos atuais do projeto em 08/09/2026.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5" hidden="0" customHeight="1">
      <x:c r="A4" s="8" t="str">
        <x:v>Indicador</x:v>
      </x:c>
      <x:c r="B4" s="9" t="str">
        <x:v>Leitura</x:v>
      </x:c>
      <x:c r="C4" s="10" t="str">
        <x:v>Valor</x:v>
      </x:c>
      <x:c r="D4" s="2"/>
      <x:c r="E4" s="8" t="str">
        <x:v>Prioridade</x:v>
      </x:c>
      <x:c r="F4" s="10" t="str">
        <x:v>Itens</x:v>
      </x:c>
      <x:c r="G4" s="2"/>
      <x:c r="H4" s="8" t="str">
        <x:v>Status</x:v>
      </x:c>
      <x:c r="I4" s="10" t="str">
        <x:v>Itens</x:v>
      </x:c>
      <x:c r="J4" s="2"/>
      <x:c r="K4" s="2"/>
      <x:c r="L4" s="2"/>
      <x:c r="M4" s="2"/>
      <x:c r="N4" s="2"/>
    </x:row>
    <x:row r="5" ht="15" hidden="0" customHeight="1">
      <x:c r="A5" s="14" t="str">
        <x:v>Itens planejados</x:v>
      </x:c>
      <x:c r="B5" s="14" t="str">
        <x:v>Total de tarefas no backlog</x:v>
      </x:c>
      <x:c r="C5" s="19" t="n">
        <x:f>COUNTA(Backlog!$A$8:$A$28)</x:f>
        <x:v>21</x:v>
      </x:c>
      <x:c r="D5" s="2"/>
      <x:c r="E5" s="2" t="str">
        <x:v>Alta</x:v>
      </x:c>
      <x:c r="F5" s="2" t="n">
        <x:f>COUNTIFS(Backlog!$E$8:$E$28,E5)</x:f>
        <x:v>15</x:v>
      </x:c>
      <x:c r="G5" s="2"/>
      <x:c r="H5" s="2" t="str">
        <x:v>Não iniciado</x:v>
      </x:c>
      <x:c r="I5" s="2" t="n">
        <x:f>COUNTIFS(Backlog!$F$8:$F$28,H5)</x:f>
        <x:v>21</x:v>
      </x:c>
      <x:c r="J5" s="2"/>
      <x:c r="K5" s="2"/>
      <x:c r="L5" s="2"/>
      <x:c r="M5" s="2"/>
      <x:c r="N5" s="2"/>
    </x:row>
    <x:row r="6" ht="15" hidden="0" customHeight="1">
      <x:c r="A6" s="14" t="str">
        <x:v>Itens pendentes</x:v>
      </x:c>
      <x:c r="B6" s="14" t="str">
        <x:v>Tudo que ainda não está concluído</x:v>
      </x:c>
      <x:c r="C6" s="19" t="n">
        <x:f>COUNTIFS(Backlog!$F$8:$F$28,"&lt;&gt;Concluído")</x:f>
        <x:v>21</x:v>
      </x:c>
      <x:c r="D6" s="2"/>
      <x:c r="E6" s="2" t="str">
        <x:v>Média</x:v>
      </x:c>
      <x:c r="F6" s="2" t="n">
        <x:f>COUNTIFS(Backlog!$E$8:$E$28,E6)</x:f>
        <x:v>6</x:v>
      </x:c>
      <x:c r="G6" s="2"/>
      <x:c r="H6" s="2" t="str">
        <x:v>Em andamento</x:v>
      </x:c>
      <x:c r="I6" s="2" t="n">
        <x:f>COUNTIFS(Backlog!$F$8:$F$28,H6)</x:f>
        <x:v>0</x:v>
      </x:c>
      <x:c r="J6" s="2"/>
      <x:c r="K6" s="2"/>
      <x:c r="L6" s="2"/>
      <x:c r="M6" s="2"/>
      <x:c r="N6" s="2"/>
    </x:row>
    <x:row r="7" ht="15" hidden="0" customHeight="1">
      <x:c r="A7" s="14" t="str">
        <x:v>Alta prioridade</x:v>
      </x:c>
      <x:c r="B7" s="14" t="str">
        <x:v>Itens que protegem o MVP</x:v>
      </x:c>
      <x:c r="C7" s="19" t="n">
        <x:f>COUNTIFS(Backlog!$E$8:$E$28,"Alta")</x:f>
        <x:v>15</x:v>
      </x:c>
      <x:c r="D7" s="2"/>
      <x:c r="E7" s="2" t="str">
        <x:v>Baixa</x:v>
      </x:c>
      <x:c r="F7" s="2" t="n">
        <x:f>COUNTIFS(Backlog!$E$8:$E$28,E7)</x:f>
        <x:v>0</x:v>
      </x:c>
      <x:c r="G7" s="2"/>
      <x:c r="H7" s="2" t="str">
        <x:v>Aguardando decisão</x:v>
      </x:c>
      <x:c r="I7" s="2" t="n">
        <x:f>COUNTIFS(Backlog!$F$8:$F$28,H7)</x:f>
        <x:v>0</x:v>
      </x:c>
      <x:c r="J7" s="2"/>
      <x:c r="K7" s="2"/>
      <x:c r="L7" s="2"/>
      <x:c r="M7" s="2"/>
      <x:c r="N7" s="2"/>
    </x:row>
    <x:row r="8" ht="15" hidden="0" customHeight="1">
      <x:c r="A8" s="14" t="str">
        <x:v>Esforço estimado</x:v>
      </x:c>
      <x:c r="B8" s="14" t="str">
        <x:v>Soma de dias de desenvolvimento</x:v>
      </x:c>
      <x:c r="C8" s="19" t="n">
        <x:f>SUM(Backlog!$H$8:$H$28)</x:f>
        <x:v>40</x:v>
      </x:c>
      <x:c r="D8" s="2"/>
      <x:c r="E8" s="2"/>
      <x:c r="F8" s="2"/>
      <x:c r="G8" s="2"/>
      <x:c r="H8" s="2" t="str">
        <x:v>Concluído</x:v>
      </x:c>
      <x:c r="I8" s="2" t="n">
        <x:f>COUNTIFS(Backlog!$F$8:$F$28,H8)</x:f>
        <x:v>0</x:v>
      </x:c>
      <x:c r="J8" s="2"/>
      <x:c r="K8" s="2"/>
      <x:c r="L8" s="2"/>
      <x:c r="M8" s="2"/>
      <x:c r="N8" s="2"/>
    </x:row>
    <x:row r="9" ht="15" hidden="0" customHeight="1">
      <x:c r="A9" s="14" t="str">
        <x:v>Entrega sugerida</x:v>
      </x:c>
      <x:c r="B9" s="14" t="str">
        <x:v>Maior data de entrega do backlog</x:v>
      </x:c>
      <x:c r="C9" s="20" t="n">
        <x:f>MAX(Backlog!$J$8:$J$28)</x:f>
        <x:v>46328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14" t="str">
        <x:v>Escopo MVP</x:v>
      </x:c>
      <x:c r="B10" s="14" t="str">
        <x:v>Percentual de itens marcados como MVP</x:v>
      </x:c>
      <x:c r="C10" s="21" t="n">
        <x:f>IF(C5=0,"n.a.",COUNTIFS(Backlog!$N$8:$N$28,"Sim")/C5)</x:f>
        <x:v>0.7619047619047619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14" t="str">
        <x:v>Próxima frente</x:v>
      </x:c>
      <x:c r="B11" s="14" t="str">
        <x:v>Primeira prioridade alta no backlog</x:v>
      </x:c>
      <x:c r="C11" s="22" t="str">
        <x:f>INDEX(Backlog!$C$8:$C$28,MATCH("Alta",Backlog!$E$8:$E$28,0))</x:f>
        <x:v>Inventário técnico e rotas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5" t="str">
        <x:v>Leitura rápida</x:v>
      </x:c>
      <x:c r="B14" s="26" t="str"/>
      <x:c r="C14" s="26" t="str"/>
      <x:c r="D14" s="27" t="str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42" hidden="0" customHeight="1">
      <x:c r="A15" s="28" t="str">
        <x:v>O que já existe</x:v>
      </x:c>
      <x:c r="B15" s="29" t="str">
        <x:v>Landing page, formulários de agendamento, página dedicada de agendamento, CSS e scripts.</x:v>
      </x:c>
      <x:c r="C15" s="29" t="str"/>
      <x:c r="D15" s="29" t="str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42" hidden="0" customHeight="1">
      <x:c r="A16" s="28" t="str">
        <x:v>Principais faltas</x:v>
      </x:c>
      <x:c r="B16" s="29" t="str">
        <x:v>Login, cadastro, área do usuário, meus agendamentos, administração, disponibilidade real e LGPD.</x:v>
      </x:c>
      <x:c r="C16" s="29" t="str"/>
      <x:c r="D16" s="29" t="str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42" hidden="0" customHeight="1">
      <x:c r="A17" s="28" t="str">
        <x:v>Primeira decisão</x:v>
      </x:c>
      <x:c r="B17" s="29" t="str">
        <x:v>Escolher como usuários e agendamentos serão salvos antes de criar as telas privadas.</x:v>
      </x:c>
      <x:c r="C17" s="29" t="str"/>
      <x:c r="D17" s="29" t="str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42" hidden="0" customHeight="1">
      <x:c r="A18" s="28" t="str">
        <x:v>MVP recomendado</x:v>
      </x:c>
      <x:c r="B18" s="29" t="str">
        <x:v>Autenticação, área do usuário, meus agendamentos, agenda com usuário logado, painel admin e testes.</x:v>
      </x:c>
      <x:c r="C18" s="29" t="str"/>
      <x:c r="D18" s="29" t="str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42" hidden="0" customHeight="1">
      <x:c r="A19" s="28" t="str">
        <x:v>Risco de escopo</x:v>
      </x:c>
      <x:c r="B19" s="29" t="str">
        <x:v>Automação de mensagens e gestão completa de serviços podem ficar para uma segunda versão.</x:v>
      </x:c>
      <x:c r="C19" s="29" t="str"/>
      <x:c r="D19" s="29" t="str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42" hidden="0" customHeight="1">
      <x:c r="A20" s="28" t="str">
        <x:v>Ajuste de conteúdo</x:v>
      </x:c>
      <x:c r="B20" s="29" t="str">
        <x:v>Unificar a marca entre Bela y Essência e Atelier Lumière.</x:v>
      </x:c>
      <x:c r="C20" s="29" t="str"/>
      <x:c r="D20" s="29" t="str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mergeCells>
    <x:mergeCell ref="A14:D14"/>
    <x:mergeCell ref="B15:D15"/>
    <x:mergeCell ref="B16:D16"/>
    <x:mergeCell ref="B17:D17"/>
    <x:mergeCell ref="B18:D18"/>
    <x:mergeCell ref="B19:D19"/>
    <x:mergeCell ref="B20:D20"/>
  </x:mergeCells>
  <x:conditionalFormatting sqref="E5:E7">
    <x:cfRule type="containsText" dxfId="0" priority="1" operator="containsText" text="Alta"/>
    <x:cfRule type="containsText" dxfId="1" priority="2" operator="containsText" text="Média"/>
  </x:conditionalFormatting>
  <x:conditionalFormatting sqref="H5:H8">
    <x:cfRule type="containsText" dxfId="2" priority="3" operator="containsText" text="Concluído"/>
    <x:cfRule type="containsText" dxfId="3" priority="4" operator="containsText" text="Em andamento"/>
    <x:cfRule type="containsText" dxfId="4" priority="5" operator="containsText" text="Aguardando decisã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65A5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50" hidden="0" customWidth="1"/>
    <x:col min="5" max="5" width="13" hidden="0" customWidth="1"/>
    <x:col min="6" max="6" width="18" hidden="0" customWidth="1"/>
    <x:col min="7" max="7" width="18" hidden="0" customWidth="1"/>
    <x:col min="8" max="8" width="9" hidden="0" customWidth="1"/>
    <x:col min="9" max="9" width="15" hidden="0" customWidth="1"/>
    <x:col min="10" max="10" width="16" hidden="0" customWidth="1"/>
    <x:col min="11" max="11" width="28" hidden="0" customWidth="1"/>
    <x:col min="12" max="12" width="50" hidden="0" customWidth="1"/>
    <x:col min="13" max="13" width="50" hidden="0" customWidth="1"/>
    <x:col min="14" max="14" width="10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6.799999237060547" hidden="0" customHeight="1">
      <x:c r="A2" s="3" t="str">
        <x:v>Backlog de páginas e funcionalidades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4" t="str">
        <x:v>Edite prioridade, status, responsável e datas conforme o andamento.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15" hidden="0" customHeight="1">
      <x:c r="A7" s="8" t="str">
        <x:v>ID</x:v>
      </x:c>
      <x:c r="B7" s="9" t="str">
        <x:v>Fase</x:v>
      </x:c>
      <x:c r="C7" s="9" t="str">
        <x:v>Página ou funcionalidade</x:v>
      </x:c>
      <x:c r="D7" s="9" t="str">
        <x:v>Objetivo</x:v>
      </x:c>
      <x:c r="E7" s="9" t="str">
        <x:v>Prioridade</x:v>
      </x:c>
      <x:c r="F7" s="9" t="str">
        <x:v>Status</x:v>
      </x:c>
      <x:c r="G7" s="9" t="str">
        <x:v>Responsável</x:v>
      </x:c>
      <x:c r="H7" s="9" t="str">
        <x:v>Dias</x:v>
      </x:c>
      <x:c r="I7" s="9" t="str">
        <x:v>Início sugerido</x:v>
      </x:c>
      <x:c r="J7" s="9" t="str">
        <x:v>Entrega sugerida</x:v>
      </x:c>
      <x:c r="K7" s="9" t="str">
        <x:v>Dependências</x:v>
      </x:c>
      <x:c r="L7" s="9" t="str">
        <x:v>Critério de aceite</x:v>
      </x:c>
      <x:c r="M7" s="9" t="str">
        <x:v>Observações</x:v>
      </x:c>
      <x:c r="N7" s="10" t="str">
        <x:v>MVP</x:v>
      </x:c>
    </x:row>
    <x:row r="8" ht="48" hidden="0" customHeight="1">
      <x:c r="A8" s="33" t="str">
        <x:v>PL-001</x:v>
      </x:c>
      <x:c r="B8" s="14" t="str">
        <x:v>Fundação</x:v>
      </x:c>
      <x:c r="C8" s="30" t="str">
        <x:v>Inventário técnico e rotas</x:v>
      </x:c>
      <x:c r="D8" s="30" t="str">
        <x:v>Mapear páginas existentes, formulários e próximas rotas do sistema.</x:v>
      </x:c>
      <x:c r="E8" s="14" t="str">
        <x:v>Alta</x:v>
      </x:c>
      <x:c r="F8" s="14" t="str">
        <x:v>Não iniciado</x:v>
      </x:c>
      <x:c r="G8" s="14" t="str">
        <x:v>Desenvolvedor</x:v>
      </x:c>
      <x:c r="H8" s="31" t="n">
        <x:v>1</x:v>
      </x:c>
      <x:c r="I8" s="32" t="n">
        <x:v>46273</x:v>
      </x:c>
      <x:c r="J8" s="32" t="n">
        <x:v>46273</x:v>
      </x:c>
      <x:c r="K8" s="30" t="str">
        <x:v>Arquivos atuais do projeto</x:v>
      </x:c>
      <x:c r="L8" s="30" t="str">
        <x:v>Mapa de rotas aprovado.</x:v>
      </x:c>
      <x:c r="M8" s="30" t="str">
        <x:v>Projeto hoje tem landing page, página dedicada de agendamento, CSS e scripts.</x:v>
      </x:c>
      <x:c r="N8" s="14" t="str">
        <x:v>Sim</x:v>
      </x:c>
    </x:row>
    <x:row r="9" ht="48" hidden="0" customHeight="1">
      <x:c r="A9" s="33" t="str">
        <x:v>PL-002</x:v>
      </x:c>
      <x:c r="B9" s="14" t="str">
        <x:v>Fundação</x:v>
      </x:c>
      <x:c r="C9" s="30" t="str">
        <x:v>Modelo de dados</x:v>
      </x:c>
      <x:c r="D9" s="30" t="str">
        <x:v>Definir tabelas de usuários, serviços, agendamentos, disponibilidade e status.</x:v>
      </x:c>
      <x:c r="E9" s="14" t="str">
        <x:v>Alta</x:v>
      </x:c>
      <x:c r="F9" s="14" t="str">
        <x:v>Não iniciado</x:v>
      </x:c>
      <x:c r="G9" s="14" t="str">
        <x:v>Desenvolvedor</x:v>
      </x:c>
      <x:c r="H9" s="31" t="n">
        <x:v>2</x:v>
      </x:c>
      <x:c r="I9" s="32" t="n">
        <x:v>46274</x:v>
      </x:c>
      <x:c r="J9" s="32" t="n">
        <x:v>46275</x:v>
      </x:c>
      <x:c r="K9" s="30" t="str">
        <x:v>PL-001</x:v>
      </x:c>
      <x:c r="L9" s="30" t="str">
        <x:v>Campos essenciais definidos para cadastro, login e agenda.</x:v>
      </x:c>
      <x:c r="M9" s="30" t="str">
        <x:v>Base para escolher backend ou banco de dados.</x:v>
      </x:c>
      <x:c r="N9" s="14" t="str">
        <x:v>Sim</x:v>
      </x:c>
    </x:row>
    <x:row r="10" ht="48" hidden="0" customHeight="1">
      <x:c r="A10" s="33" t="str">
        <x:v>AUT-001</x:v>
      </x:c>
      <x:c r="B10" s="14" t="str">
        <x:v>Autenticação</x:v>
      </x:c>
      <x:c r="C10" s="30" t="str">
        <x:v>Página de login</x:v>
      </x:c>
      <x:c r="D10" s="30" t="str">
        <x:v>Permitir entrada do usuário com e-mail e senha.</x:v>
      </x:c>
      <x:c r="E10" s="14" t="str">
        <x:v>Alta</x:v>
      </x:c>
      <x:c r="F10" s="14" t="str">
        <x:v>Não iniciado</x:v>
      </x:c>
      <x:c r="G10" s="14" t="str">
        <x:v>Desenvolvedor</x:v>
      </x:c>
      <x:c r="H10" s="31" t="n">
        <x:v>2</x:v>
      </x:c>
      <x:c r="I10" s="32" t="n">
        <x:v>46276</x:v>
      </x:c>
      <x:c r="J10" s="32" t="n">
        <x:v>46279</x:v>
      </x:c>
      <x:c r="K10" s="30" t="str">
        <x:v>PL-002</x:v>
      </x:c>
      <x:c r="L10" s="30" t="str">
        <x:v>Usuário consegue acessar a conta e ver mensagens de erro claras.</x:v>
      </x:c>
      <x:c r="M10" s="30" t="str">
        <x:v>Criar login.html ou rota equivalente.</x:v>
      </x:c>
      <x:c r="N10" s="14" t="str">
        <x:v>Sim</x:v>
      </x:c>
    </x:row>
    <x:row r="11" ht="48" hidden="0" customHeight="1">
      <x:c r="A11" s="33" t="str">
        <x:v>AUT-002</x:v>
      </x:c>
      <x:c r="B11" s="14" t="str">
        <x:v>Autenticação</x:v>
      </x:c>
      <x:c r="C11" s="30" t="str">
        <x:v>Página de cadastro</x:v>
      </x:c>
      <x:c r="D11" s="30" t="str">
        <x:v>Criar conta de cliente com nome, WhatsApp, e-mail e senha.</x:v>
      </x:c>
      <x:c r="E11" s="14" t="str">
        <x:v>Alta</x:v>
      </x:c>
      <x:c r="F11" s="14" t="str">
        <x:v>Não iniciado</x:v>
      </x:c>
      <x:c r="G11" s="14" t="str">
        <x:v>Desenvolvedor</x:v>
      </x:c>
      <x:c r="H11" s="31" t="n">
        <x:v>2</x:v>
      </x:c>
      <x:c r="I11" s="32" t="n">
        <x:v>46280</x:v>
      </x:c>
      <x:c r="J11" s="32" t="n">
        <x:v>46281</x:v>
      </x:c>
      <x:c r="K11" s="30" t="str">
        <x:v>PL-002</x:v>
      </x:c>
      <x:c r="L11" s="30" t="str">
        <x:v>Cadastro salva dados, valida campos obrigatórios e evita e-mail duplicado.</x:v>
      </x:c>
      <x:c r="M11" s="30" t="str">
        <x:v>Criar cadastro.html ou rota equivalente.</x:v>
      </x:c>
      <x:c r="N11" s="14" t="str">
        <x:v>Sim</x:v>
      </x:c>
    </x:row>
    <x:row r="12" ht="48" hidden="0" customHeight="1">
      <x:c r="A12" s="33" t="str">
        <x:v>AUT-003</x:v>
      </x:c>
      <x:c r="B12" s="14" t="str">
        <x:v>Autenticação</x:v>
      </x:c>
      <x:c r="C12" s="30" t="str">
        <x:v>Recuperação de senha</x:v>
      </x:c>
      <x:c r="D12" s="30" t="str">
        <x:v>Permitir que o usuário solicite redefinição de senha.</x:v>
      </x:c>
      <x:c r="E12" s="14" t="str">
        <x:v>Média</x:v>
      </x:c>
      <x:c r="F12" s="14" t="str">
        <x:v>Não iniciado</x:v>
      </x:c>
      <x:c r="G12" s="14" t="str">
        <x:v>Desenvolvedor</x:v>
      </x:c>
      <x:c r="H12" s="31" t="n">
        <x:v>1</x:v>
      </x:c>
      <x:c r="I12" s="32" t="n">
        <x:v>46282</x:v>
      </x:c>
      <x:c r="J12" s="32" t="n">
        <x:v>46282</x:v>
      </x:c>
      <x:c r="K12" s="30" t="str">
        <x:v>AUT-001</x:v>
      </x:c>
      <x:c r="L12" s="30" t="str">
        <x:v>Usuário recebe caminho seguro para redefinir a senha.</x:v>
      </x:c>
      <x:c r="M12" s="30" t="str">
        <x:v>Pode ficar fora do MVP se o prazo apertar.</x:v>
      </x:c>
      <x:c r="N12" s="14" t="str">
        <x:v>Não</x:v>
      </x:c>
    </x:row>
    <x:row r="13" ht="48" hidden="0" customHeight="1">
      <x:c r="A13" s="33" t="str">
        <x:v>AUT-004</x:v>
      </x:c>
      <x:c r="B13" s="14" t="str">
        <x:v>Autenticação</x:v>
      </x:c>
      <x:c r="C13" s="30" t="str">
        <x:v>Sessão e proteção de páginas</x:v>
      </x:c>
      <x:c r="D13" s="30" t="str">
        <x:v>Manter usuário logado e bloquear áreas privadas para visitantes.</x:v>
      </x:c>
      <x:c r="E13" s="14" t="str">
        <x:v>Alta</x:v>
      </x:c>
      <x:c r="F13" s="14" t="str">
        <x:v>Não iniciado</x:v>
      </x:c>
      <x:c r="G13" s="14" t="str">
        <x:v>Desenvolvedor</x:v>
      </x:c>
      <x:c r="H13" s="31" t="n">
        <x:v>2</x:v>
      </x:c>
      <x:c r="I13" s="32" t="n">
        <x:v>46283</x:v>
      </x:c>
      <x:c r="J13" s="32" t="n">
        <x:v>46286</x:v>
      </x:c>
      <x:c r="K13" s="30" t="str">
        <x:v>AUT-001, AUT-002</x:v>
      </x:c>
      <x:c r="L13" s="30" t="str">
        <x:v>Área do usuário exige login e redireciona visitantes.</x:v>
      </x:c>
      <x:c r="M13" s="30" t="str">
        <x:v>Inclui logout.</x:v>
      </x:c>
      <x:c r="N13" s="14" t="str">
        <x:v>Sim</x:v>
      </x:c>
    </x:row>
    <x:row r="14" ht="48" hidden="0" customHeight="1">
      <x:c r="A14" s="33" t="str">
        <x:v>USR-001</x:v>
      </x:c>
      <x:c r="B14" s="14" t="str">
        <x:v>Área do usuário</x:v>
      </x:c>
      <x:c r="C14" s="30" t="str">
        <x:v>Painel do usuário</x:v>
      </x:c>
      <x:c r="D14" s="30" t="str">
        <x:v>Mostrar saudação, próximo agendamento e atalhos principais.</x:v>
      </x:c>
      <x:c r="E14" s="14" t="str">
        <x:v>Alta</x:v>
      </x:c>
      <x:c r="F14" s="14" t="str">
        <x:v>Não iniciado</x:v>
      </x:c>
      <x:c r="G14" s="14" t="str">
        <x:v>Desenvolvedor</x:v>
      </x:c>
      <x:c r="H14" s="31" t="n">
        <x:v>2</x:v>
      </x:c>
      <x:c r="I14" s="32" t="n">
        <x:v>46287</x:v>
      </x:c>
      <x:c r="J14" s="32" t="n">
        <x:v>46288</x:v>
      </x:c>
      <x:c r="K14" s="30" t="str">
        <x:v>AUT-004</x:v>
      </x:c>
      <x:c r="L14" s="30" t="str">
        <x:v>Usuário vê um painel simples após entrar.</x:v>
      </x:c>
      <x:c r="M14" s="30" t="str">
        <x:v>Criar area-usuario.html ou dashboard do cliente.</x:v>
      </x:c>
      <x:c r="N14" s="14" t="str">
        <x:v>Sim</x:v>
      </x:c>
    </x:row>
    <x:row r="15" ht="48" hidden="0" customHeight="1">
      <x:c r="A15" s="33" t="str">
        <x:v>USR-002</x:v>
      </x:c>
      <x:c r="B15" s="14" t="str">
        <x:v>Área do usuário</x:v>
      </x:c>
      <x:c r="C15" s="30" t="str">
        <x:v>Meus agendamentos</x:v>
      </x:c>
      <x:c r="D15" s="30" t="str">
        <x:v>Listar agendamentos futuros e histórico do usuário.</x:v>
      </x:c>
      <x:c r="E15" s="14" t="str">
        <x:v>Alta</x:v>
      </x:c>
      <x:c r="F15" s="14" t="str">
        <x:v>Não iniciado</x:v>
      </x:c>
      <x:c r="G15" s="14" t="str">
        <x:v>Desenvolvedor</x:v>
      </x:c>
      <x:c r="H15" s="31" t="n">
        <x:v>2</x:v>
      </x:c>
      <x:c r="I15" s="32" t="n">
        <x:v>46289</x:v>
      </x:c>
      <x:c r="J15" s="32" t="n">
        <x:v>46290</x:v>
      </x:c>
      <x:c r="K15" s="30" t="str">
        <x:v>USR-001, PL-002</x:v>
      </x:c>
      <x:c r="L15" s="30" t="str">
        <x:v>Lista mostra procedimento, data, horário e status.</x:v>
      </x:c>
      <x:c r="M15" s="30" t="str">
        <x:v>Item citado diretamente no pedido.</x:v>
      </x:c>
      <x:c r="N15" s="14" t="str">
        <x:v>Sim</x:v>
      </x:c>
    </x:row>
    <x:row r="16" ht="48" hidden="0" customHeight="1">
      <x:c r="A16" s="33" t="str">
        <x:v>USR-003</x:v>
      </x:c>
      <x:c r="B16" s="14" t="str">
        <x:v>Área do usuário</x:v>
      </x:c>
      <x:c r="C16" s="30" t="str">
        <x:v>Detalhe, remarcação e cancelamento</x:v>
      </x:c>
      <x:c r="D16" s="30" t="str">
        <x:v>Permitir ver detalhes e solicitar alteração de horário.</x:v>
      </x:c>
      <x:c r="E16" s="14" t="str">
        <x:v>Alta</x:v>
      </x:c>
      <x:c r="F16" s="14" t="str">
        <x:v>Não iniciado</x:v>
      </x:c>
      <x:c r="G16" s="14" t="str">
        <x:v>Desenvolvedor</x:v>
      </x:c>
      <x:c r="H16" s="31" t="n">
        <x:v>3</x:v>
      </x:c>
      <x:c r="I16" s="32" t="n">
        <x:v>46293</x:v>
      </x:c>
      <x:c r="J16" s="32" t="n">
        <x:v>46295</x:v>
      </x:c>
      <x:c r="K16" s="30" t="str">
        <x:v>USR-002</x:v>
      </x:c>
      <x:c r="L16" s="30" t="str">
        <x:v>Usuário consegue cancelar ou pedir remarcação respeitando regras definidas.</x:v>
      </x:c>
      <x:c r="M16" s="30" t="str">
        <x:v>Definir antecedência mínima.</x:v>
      </x:c>
      <x:c r="N16" s="14" t="str">
        <x:v>Sim</x:v>
      </x:c>
    </x:row>
    <x:row r="17" ht="48" hidden="0" customHeight="1">
      <x:c r="A17" s="33" t="str">
        <x:v>USR-004</x:v>
      </x:c>
      <x:c r="B17" s="14" t="str">
        <x:v>Área do usuário</x:v>
      </x:c>
      <x:c r="C17" s="30" t="str">
        <x:v>Perfil do usuário</x:v>
      </x:c>
      <x:c r="D17" s="30" t="str">
        <x:v>Editar dados pessoais e preferências de contato.</x:v>
      </x:c>
      <x:c r="E17" s="14" t="str">
        <x:v>Média</x:v>
      </x:c>
      <x:c r="F17" s="14" t="str">
        <x:v>Não iniciado</x:v>
      </x:c>
      <x:c r="G17" s="14" t="str">
        <x:v>Desenvolvedor</x:v>
      </x:c>
      <x:c r="H17" s="31" t="n">
        <x:v>1</x:v>
      </x:c>
      <x:c r="I17" s="32" t="n">
        <x:v>46296</x:v>
      </x:c>
      <x:c r="J17" s="32" t="n">
        <x:v>46296</x:v>
      </x:c>
      <x:c r="K17" s="30" t="str">
        <x:v>USR-001</x:v>
      </x:c>
      <x:c r="L17" s="30" t="str">
        <x:v>Dados editados aparecem nos próximos agendamentos.</x:v>
      </x:c>
      <x:c r="M17" s="30" t="str">
        <x:v>Campos: nome, WhatsApp, e-mail.</x:v>
      </x:c>
      <x:c r="N17" s="14" t="str">
        <x:v>Não</x:v>
      </x:c>
    </x:row>
    <x:row r="18" ht="48" hidden="0" customHeight="1">
      <x:c r="A18" s="33" t="str">
        <x:v>AGD-001</x:v>
      </x:c>
      <x:c r="B18" s="14" t="str">
        <x:v>Agendamento</x:v>
      </x:c>
      <x:c r="C18" s="30" t="str">
        <x:v>Agendamento com usuário logado</x:v>
      </x:c>
      <x:c r="D18" s="30" t="str">
        <x:v>Preencher dados automaticamente quando o cliente estiver autenticado.</x:v>
      </x:c>
      <x:c r="E18" s="14" t="str">
        <x:v>Alta</x:v>
      </x:c>
      <x:c r="F18" s="14" t="str">
        <x:v>Não iniciado</x:v>
      </x:c>
      <x:c r="G18" s="14" t="str">
        <x:v>Desenvolvedor</x:v>
      </x:c>
      <x:c r="H18" s="31" t="n">
        <x:v>2</x:v>
      </x:c>
      <x:c r="I18" s="32" t="n">
        <x:v>46297</x:v>
      </x:c>
      <x:c r="J18" s="32" t="n">
        <x:v>46300</x:v>
      </x:c>
      <x:c r="K18" s="30" t="str">
        <x:v>AUT-004, USR-001</x:v>
      </x:c>
      <x:c r="L18" s="30" t="str">
        <x:v>Cliente logado agenda sem repetir nome e contato.</x:v>
      </x:c>
      <x:c r="M18" s="30" t="str">
        <x:v>Unificar regra entre index.html e agendamento.html.</x:v>
      </x:c>
      <x:c r="N18" s="14" t="str">
        <x:v>Sim</x:v>
      </x:c>
    </x:row>
    <x:row r="19" ht="48" hidden="0" customHeight="1">
      <x:c r="A19" s="33" t="str">
        <x:v>AGD-002</x:v>
      </x:c>
      <x:c r="B19" s="14" t="str">
        <x:v>Agendamento</x:v>
      </x:c>
      <x:c r="C19" s="30" t="str">
        <x:v>Validação de disponibilidade</x:v>
      </x:c>
      <x:c r="D19" s="30" t="str">
        <x:v>Impedir conflito de horário quando a equipe confirmar um atendimento.</x:v>
      </x:c>
      <x:c r="E19" s="14" t="str">
        <x:v>Alta</x:v>
      </x:c>
      <x:c r="F19" s="14" t="str">
        <x:v>Não iniciado</x:v>
      </x:c>
      <x:c r="G19" s="14" t="str">
        <x:v>Desenvolvedor</x:v>
      </x:c>
      <x:c r="H19" s="31" t="n">
        <x:v>3</x:v>
      </x:c>
      <x:c r="I19" s="32" t="n">
        <x:v>46301</x:v>
      </x:c>
      <x:c r="J19" s="32" t="n">
        <x:v>46303</x:v>
      </x:c>
      <x:c r="K19" s="30" t="str">
        <x:v>PL-002</x:v>
      </x:c>
      <x:c r="L19" s="30" t="str">
        <x:v>Sistema não permite confirmar dois atendimentos no mesmo horário.</x:v>
      </x:c>
      <x:c r="M19" s="30" t="str">
        <x:v>Hoje os horários exibidos são exemplos.</x:v>
      </x:c>
      <x:c r="N19" s="14" t="str">
        <x:v>Sim</x:v>
      </x:c>
    </x:row>
    <x:row r="20" ht="48" hidden="0" customHeight="1">
      <x:c r="A20" s="33" t="str">
        <x:v>ADM-001</x:v>
      </x:c>
      <x:c r="B20" s="14" t="str">
        <x:v>Administração</x:v>
      </x:c>
      <x:c r="C20" s="30" t="str">
        <x:v>Login administrativo e permissões</x:v>
      </x:c>
      <x:c r="D20" s="30" t="str">
        <x:v>Separar acesso da equipe do acesso de clientes.</x:v>
      </x:c>
      <x:c r="E20" s="14" t="str">
        <x:v>Alta</x:v>
      </x:c>
      <x:c r="F20" s="14" t="str">
        <x:v>Não iniciado</x:v>
      </x:c>
      <x:c r="G20" s="14" t="str">
        <x:v>Desenvolvedor</x:v>
      </x:c>
      <x:c r="H20" s="31" t="n">
        <x:v>2</x:v>
      </x:c>
      <x:c r="I20" s="32" t="n">
        <x:v>46304</x:v>
      </x:c>
      <x:c r="J20" s="32" t="n">
        <x:v>46307</x:v>
      </x:c>
      <x:c r="K20" s="30" t="str">
        <x:v>AUT-004</x:v>
      </x:c>
      <x:c r="L20" s="30" t="str">
        <x:v>Somente equipe autorizada acessa administração.</x:v>
      </x:c>
      <x:c r="M20" s="30" t="str">
        <x:v>Pode usar perfil admin no mesmo sistema de login.</x:v>
      </x:c>
      <x:c r="N20" s="14" t="str">
        <x:v>Sim</x:v>
      </x:c>
    </x:row>
    <x:row r="21" ht="48" hidden="0" customHeight="1">
      <x:c r="A21" s="33" t="str">
        <x:v>ADM-002</x:v>
      </x:c>
      <x:c r="B21" s="14" t="str">
        <x:v>Administração</x:v>
      </x:c>
      <x:c r="C21" s="30" t="str">
        <x:v>Painel de agendamentos</x:v>
      </x:c>
      <x:c r="D21" s="30" t="str">
        <x:v>Visualizar, filtrar, confirmar, remarcar e cancelar solicitações.</x:v>
      </x:c>
      <x:c r="E21" s="14" t="str">
        <x:v>Alta</x:v>
      </x:c>
      <x:c r="F21" s="14" t="str">
        <x:v>Não iniciado</x:v>
      </x:c>
      <x:c r="G21" s="14" t="str">
        <x:v>Desenvolvedor</x:v>
      </x:c>
      <x:c r="H21" s="31" t="n">
        <x:v>3</x:v>
      </x:c>
      <x:c r="I21" s="32" t="n">
        <x:v>46308</x:v>
      </x:c>
      <x:c r="J21" s="32" t="n">
        <x:v>46310</x:v>
      </x:c>
      <x:c r="K21" s="30" t="str">
        <x:v>ADM-001, AGD-002</x:v>
      </x:c>
      <x:c r="L21" s="30" t="str">
        <x:v>Equipe consegue mudar status e encontrar agendamentos por data, cliente e serviço.</x:v>
      </x:c>
      <x:c r="M21" s="30" t="str">
        <x:v>Essencial para fechar o ciclo de agenda.</x:v>
      </x:c>
      <x:c r="N21" s="14" t="str">
        <x:v>Sim</x:v>
      </x:c>
    </x:row>
    <x:row r="22" ht="48" hidden="0" customHeight="1">
      <x:c r="A22" s="33" t="str">
        <x:v>ADM-003</x:v>
      </x:c>
      <x:c r="B22" s="14" t="str">
        <x:v>Administração</x:v>
      </x:c>
      <x:c r="C22" s="30" t="str">
        <x:v>Cadastro de serviços</x:v>
      </x:c>
      <x:c r="D22" s="30" t="str">
        <x:v>Gerenciar procedimentos, duração, preço base e status ativo.</x:v>
      </x:c>
      <x:c r="E22" s="14" t="str">
        <x:v>Média</x:v>
      </x:c>
      <x:c r="F22" s="14" t="str">
        <x:v>Não iniciado</x:v>
      </x:c>
      <x:c r="G22" s="14" t="str">
        <x:v>Desenvolvedor</x:v>
      </x:c>
      <x:c r="H22" s="31" t="n">
        <x:v>2</x:v>
      </x:c>
      <x:c r="I22" s="32" t="n">
        <x:v>46311</x:v>
      </x:c>
      <x:c r="J22" s="32" t="n">
        <x:v>46314</x:v>
      </x:c>
      <x:c r="K22" s="30" t="str">
        <x:v>ADM-001, PL-002</x:v>
      </x:c>
      <x:c r="L22" s="30" t="str">
        <x:v>Equipe pode ativar, desativar e editar serviços.</x:v>
      </x:c>
      <x:c r="M22" s="30" t="str">
        <x:v>Facilita manter lista de tratamentos sem mexer no HTML.</x:v>
      </x:c>
      <x:c r="N22" s="14" t="str">
        <x:v>Não</x:v>
      </x:c>
    </x:row>
    <x:row r="23" ht="48" hidden="0" customHeight="1">
      <x:c r="A23" s="33" t="str">
        <x:v>ADM-004</x:v>
      </x:c>
      <x:c r="B23" s="14" t="str">
        <x:v>Administração</x:v>
      </x:c>
      <x:c r="C23" s="30" t="str">
        <x:v>Horários e bloqueios</x:v>
      </x:c>
      <x:c r="D23" s="30" t="str">
        <x:v>Gerenciar agenda de funcionamento, folgas e horários indisponíveis.</x:v>
      </x:c>
      <x:c r="E23" s="14" t="str">
        <x:v>Média</x:v>
      </x:c>
      <x:c r="F23" s="14" t="str">
        <x:v>Não iniciado</x:v>
      </x:c>
      <x:c r="G23" s="14" t="str">
        <x:v>Desenvolvedor</x:v>
      </x:c>
      <x:c r="H23" s="31" t="n">
        <x:v>2</x:v>
      </x:c>
      <x:c r="I23" s="32" t="n">
        <x:v>46315</x:v>
      </x:c>
      <x:c r="J23" s="32" t="n">
        <x:v>46316</x:v>
      </x:c>
      <x:c r="K23" s="30" t="str">
        <x:v>ADM-002</x:v>
      </x:c>
      <x:c r="L23" s="30" t="str">
        <x:v>Equipe bloqueia datas e horários sem alterar código.</x:v>
      </x:c>
      <x:c r="M23" s="30" t="str">
        <x:v>Importante antes de automatizar disponibilidade.</x:v>
      </x:c>
      <x:c r="N23" s="14" t="str">
        <x:v>Não</x:v>
      </x:c>
    </x:row>
    <x:row r="24" ht="48" hidden="0" customHeight="1">
      <x:c r="A24" s="33" t="str">
        <x:v>COM-001</x:v>
      </x:c>
      <x:c r="B24" s="14" t="str">
        <x:v>Comunicação</x:v>
      </x:c>
      <x:c r="C24" s="30" t="str">
        <x:v>Confirmações por WhatsApp ou e-mail</x:v>
      </x:c>
      <x:c r="D24" s="30" t="str">
        <x:v>Enviar aviso ao cliente quando a equipe confirmar ou alterar o agendamento.</x:v>
      </x:c>
      <x:c r="E24" s="14" t="str">
        <x:v>Média</x:v>
      </x:c>
      <x:c r="F24" s="14" t="str">
        <x:v>Não iniciado</x:v>
      </x:c>
      <x:c r="G24" s="14" t="str">
        <x:v>Desenvolvedor</x:v>
      </x:c>
      <x:c r="H24" s="31" t="n">
        <x:v>2</x:v>
      </x:c>
      <x:c r="I24" s="32" t="n">
        <x:v>46317</x:v>
      </x:c>
      <x:c r="J24" s="32" t="n">
        <x:v>46318</x:v>
      </x:c>
      <x:c r="K24" s="30" t="str">
        <x:v>ADM-002</x:v>
      </x:c>
      <x:c r="L24" s="30" t="str">
        <x:v>Cliente recebe mensagem com data, horário e procedimento.</x:v>
      </x:c>
      <x:c r="M24" s="30" t="str">
        <x:v>Começar com template simples.</x:v>
      </x:c>
      <x:c r="N24" s="14" t="str">
        <x:v>Não</x:v>
      </x:c>
    </x:row>
    <x:row r="25" ht="48" hidden="0" customHeight="1">
      <x:c r="A25" s="33" t="str">
        <x:v>SEC-001</x:v>
      </x:c>
      <x:c r="B25" s="14" t="str">
        <x:v>Segurança</x:v>
      </x:c>
      <x:c r="C25" s="30" t="str">
        <x:v>Consentimento e LGPD</x:v>
      </x:c>
      <x:c r="D25" s="30" t="str">
        <x:v>Adicionar política de privacidade, consentimento e tratamento seguro dos dados.</x:v>
      </x:c>
      <x:c r="E25" s="14" t="str">
        <x:v>Alta</x:v>
      </x:c>
      <x:c r="F25" s="14" t="str">
        <x:v>Não iniciado</x:v>
      </x:c>
      <x:c r="G25" s="14" t="str">
        <x:v>Desenvolvedor</x:v>
      </x:c>
      <x:c r="H25" s="31" t="n">
        <x:v>2</x:v>
      </x:c>
      <x:c r="I25" s="32" t="n">
        <x:v>46321</x:v>
      </x:c>
      <x:c r="J25" s="32" t="n">
        <x:v>46322</x:v>
      </x:c>
      <x:c r="K25" s="30" t="str">
        <x:v>AUT-002, AGD-001</x:v>
      </x:c>
      <x:c r="L25" s="30" t="str">
        <x:v>Formulários informam uso de dados e dados sensíveis ficam protegidos.</x:v>
      </x:c>
      <x:c r="M25" s="30" t="str">
        <x:v>Especialmente importante por envolver dados de contato e tratamentos.</x:v>
      </x:c>
      <x:c r="N25" s="14" t="str">
        <x:v>Sim</x:v>
      </x:c>
    </x:row>
    <x:row r="26" ht="48" hidden="0" customHeight="1">
      <x:c r="A26" s="33" t="str">
        <x:v>UI-001</x:v>
      </x:c>
      <x:c r="B26" s="14" t="str">
        <x:v>Interface</x:v>
      </x:c>
      <x:c r="C26" s="30" t="str">
        <x:v>Padronização de marca e navegação</x:v>
      </x:c>
      <x:c r="D26" s="30" t="str">
        <x:v>Unificar textos de marca, CTAs, links e caminhos entre páginas.</x:v>
      </x:c>
      <x:c r="E26" s="14" t="str">
        <x:v>Média</x:v>
      </x:c>
      <x:c r="F26" s="14" t="str">
        <x:v>Não iniciado</x:v>
      </x:c>
      <x:c r="G26" s="14" t="str">
        <x:v>Design/Dev</x:v>
      </x:c>
      <x:c r="H26" s="31" t="n">
        <x:v>1</x:v>
      </x:c>
      <x:c r="I26" s="32" t="n">
        <x:v>46323</x:v>
      </x:c>
      <x:c r="J26" s="32" t="n">
        <x:v>46323</x:v>
      </x:c>
      <x:c r="K26" s="30" t="str">
        <x:v>Páginas atuais</x:v>
      </x:c>
      <x:c r="L26" s="30" t="str">
        <x:v>Usuário navega entre início, agendamento, login, cadastro e área logada sem becos sem saída.</x:v>
      </x:c>
      <x:c r="M26" s="30" t="str">
        <x:v>O site mistura Bela y Essência e Atelier Lumière.</x:v>
      </x:c>
      <x:c r="N26" s="14" t="str">
        <x:v>Sim</x:v>
      </x:c>
    </x:row>
    <x:row r="27" ht="48" hidden="0" customHeight="1">
      <x:c r="A27" s="33" t="str">
        <x:v>QA-001</x:v>
      </x:c>
      <x:c r="B27" s="14" t="str">
        <x:v>Qualidade</x:v>
      </x:c>
      <x:c r="C27" s="30" t="str">
        <x:v>Testes dos fluxos principais</x:v>
      </x:c>
      <x:c r="D27" s="30" t="str">
        <x:v>Testar cadastro, login, agendamento, visualização, cancelamento e administração.</x:v>
      </x:c>
      <x:c r="E27" s="14" t="str">
        <x:v>Alta</x:v>
      </x:c>
      <x:c r="F27" s="14" t="str">
        <x:v>Não iniciado</x:v>
      </x:c>
      <x:c r="G27" s="14" t="str">
        <x:v>Desenvolvedor</x:v>
      </x:c>
      <x:c r="H27" s="31" t="n">
        <x:v>2</x:v>
      </x:c>
      <x:c r="I27" s="32" t="n">
        <x:v>46324</x:v>
      </x:c>
      <x:c r="J27" s="32" t="n">
        <x:v>46325</x:v>
      </x:c>
      <x:c r="K27" s="30" t="str">
        <x:v>Todas as telas do MVP</x:v>
      </x:c>
      <x:c r="L27" s="30" t="str">
        <x:v>Fluxos principais passam em desktop e celular.</x:v>
      </x:c>
      <x:c r="M27" s="30" t="str">
        <x:v>Criar checklist manual se não houver testes automatizados.</x:v>
      </x:c>
      <x:c r="N27" s="14" t="str">
        <x:v>Sim</x:v>
      </x:c>
    </x:row>
    <x:row r="28" ht="48" hidden="0" customHeight="1">
      <x:c r="A28" s="33" t="str">
        <x:v>DEP-001</x:v>
      </x:c>
      <x:c r="B28" s="14" t="str">
        <x:v>Publicação</x:v>
      </x:c>
      <x:c r="C28" s="30" t="str">
        <x:v>Deploy, backup e monitoramento</x:v>
      </x:c>
      <x:c r="D28" s="30" t="str">
        <x:v>Publicar a versão inicial e definir rotina de backup dos dados.</x:v>
      </x:c>
      <x:c r="E28" s="14" t="str">
        <x:v>Alta</x:v>
      </x:c>
      <x:c r="F28" s="14" t="str">
        <x:v>Não iniciado</x:v>
      </x:c>
      <x:c r="G28" s="14" t="str">
        <x:v>Desenvolvedor</x:v>
      </x:c>
      <x:c r="H28" s="31" t="n">
        <x:v>1</x:v>
      </x:c>
      <x:c r="I28" s="32" t="n">
        <x:v>46328</x:v>
      </x:c>
      <x:c r="J28" s="32" t="n">
        <x:v>46328</x:v>
      </x:c>
      <x:c r="K28" s="30" t="str">
        <x:v>QA-001</x:v>
      </x:c>
      <x:c r="L28" s="30" t="str">
        <x:v>Site publicado, dados preservados e caminho de rollback definido.</x:v>
      </x:c>
      <x:c r="M28" s="30" t="str">
        <x:v>Último passo antes de uso real.</x:v>
      </x:c>
      <x:c r="N28" s="14" t="str">
        <x:v>Sim</x:v>
      </x:c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E8:E28">
    <x:cfRule type="containsText" dxfId="5" priority="1" operator="containsText" text="Alta"/>
    <x:cfRule type="containsText" dxfId="6" priority="2" operator="containsText" text="Média"/>
    <x:cfRule type="containsText" dxfId="10" priority="6" operator="containsText" text="Alta"/>
    <x:cfRule type="containsText" dxfId="11" priority="7" operator="containsText" text="Média"/>
  </x:conditionalFormatting>
  <x:conditionalFormatting sqref="F8:F28">
    <x:cfRule type="containsText" dxfId="7" priority="3" operator="containsText" text="Concluído"/>
    <x:cfRule type="containsText" dxfId="8" priority="4" operator="containsText" text="Em andamento"/>
    <x:cfRule type="containsText" dxfId="9" priority="5" operator="containsText" text="Aguardando decisão"/>
    <x:cfRule type="containsText" dxfId="12" priority="8" operator="containsText" text="Concluído"/>
    <x:cfRule type="containsText" dxfId="13" priority="9" operator="containsText" text="Em andamento"/>
    <x:cfRule type="containsText" dxfId="14" priority="10" operator="containsText" text="Aguardando decisão"/>
  </x:conditionalFormatting>
  <x:dataValidations count="4">
    <x:dataValidation type="list" sqref="E8:E28">
      <x:formula1>"Alta,Média,Baixa"</x:formula1>
    </x:dataValidation>
    <x:dataValidation type="list" sqref="F8:F28">
      <x:formula1>"Não iniciado,Em andamento,Aguardando decisão,Concluído"</x:formula1>
    </x:dataValidation>
    <x:dataValidation type="list" sqref="G8:G28">
      <x:formula1>"Desenvolvedor,Design/Dev,Cliente,Equipe"</x:formula1>
    </x:dataValidation>
    <x:dataValidation type="list" sqref="N8:N28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77af6b68044f4c"/>
  </x:tableParts>
</x:worksheet>
</file>

<file path=xl/worksheets/sheet3.xml><?xml version="1.0" encoding="utf-8"?>
<x:worksheet xmlns:x="http://schemas.openxmlformats.org/spreadsheetml/2006/main">
  <x:sheetPr>
    <x:tabColor rgb="FFB979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12" hidden="0" customWidth="1"/>
    <x:col min="8" max="8" width="18" hidden="0" customWidth="1"/>
    <x:col min="9" max="9" width="42" hidden="0" customWidth="1"/>
    <x:col min="10" max="10" width="4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6.799999237060547" hidden="0" customHeight="1">
      <x:c r="A2" s="3" t="str">
        <x:v>Roadmap sugerido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4" t="str">
        <x:v>As contagens e dias puxam o backlog por fase.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8" t="str">
        <x:v>Fase</x:v>
      </x:c>
      <x:c r="B5" s="9" t="str">
        <x:v>Objetivo</x:v>
      </x:c>
      <x:c r="C5" s="9" t="str">
        <x:v>Início</x:v>
      </x:c>
      <x:c r="D5" s="9" t="str">
        <x:v>Entrega</x:v>
      </x:c>
      <x:c r="E5" s="9" t="str">
        <x:v>Itens</x:v>
      </x:c>
      <x:c r="F5" s="9" t="str">
        <x:v>Dias</x:v>
      </x:c>
      <x:c r="G5" s="9" t="str">
        <x:v>Progresso</x:v>
      </x:c>
      <x:c r="H5" s="9" t="str">
        <x:v>Status da fase</x:v>
      </x:c>
      <x:c r="I5" s="9" t="str">
        <x:v>Risco principal</x:v>
      </x:c>
      <x:c r="J5" s="10" t="str">
        <x:v>Entrega da fase</x:v>
      </x:c>
      <x:c r="K5" s="2"/>
      <x:c r="L5" s="2"/>
      <x:c r="M5" s="2"/>
      <x:c r="N5" s="2"/>
    </x:row>
    <x:row r="6" ht="42" hidden="0" customHeight="1">
      <x:c r="A6" s="14" t="str">
        <x:v>Fundação</x:v>
      </x:c>
      <x:c r="B6" s="30" t="str">
        <x:v>Definir base técnica e dados do sistema.</x:v>
      </x:c>
      <x:c r="C6" s="32" t="n">
        <x:v>46273</x:v>
      </x:c>
      <x:c r="D6" s="32" t="n">
        <x:v>46275</x:v>
      </x:c>
      <x:c r="E6" s="31" t="n">
        <x:f>COUNTIFS(Backlog!$B$8:$B$28,A6)</x:f>
        <x:v>2</x:v>
      </x:c>
      <x:c r="F6" s="31" t="n">
        <x:f>SUMIFS(Backlog!$H$8:$H$28,Backlog!$B$8:$B$28,A6)</x:f>
        <x:v>3</x:v>
      </x:c>
      <x:c r="G6" s="34" t="n">
        <x:f>IF(E6=0,"n.a.",COUNTIFS(Backlog!$B$8:$B$28,A6,Backlog!$F$8:$F$28,"Concluído")/E6)</x:f>
        <x:v>0</x:v>
      </x:c>
      <x:c r="H6" s="14" t="str">
        <x:f>IF(G6=1,"Concluído",IF(COUNTIFS(Backlog!$B$8:$B$28,A6,Backlog!$F$8:$F$28,"Em andamento")&gt;0,"Em andamento","Não iniciado"))</x:f>
        <x:v>Não iniciado</x:v>
      </x:c>
      <x:c r="I6" s="30" t="str">
        <x:v>Sem modelo de dados, login e agenda ficam soltos.</x:v>
      </x:c>
      <x:c r="J6" s="30" t="str">
        <x:v>Mapa técnico e estrutura de dados aprovados.</x:v>
      </x:c>
      <x:c r="K6" s="2"/>
      <x:c r="L6" s="2"/>
      <x:c r="M6" s="2"/>
      <x:c r="N6" s="2"/>
    </x:row>
    <x:row r="7" ht="42" hidden="0" customHeight="1">
      <x:c r="A7" s="14" t="str">
        <x:v>Autenticação</x:v>
      </x:c>
      <x:c r="B7" s="30" t="str">
        <x:v>Criar login, cadastro, recuperação e sessão.</x:v>
      </x:c>
      <x:c r="C7" s="32" t="n">
        <x:v>46276</x:v>
      </x:c>
      <x:c r="D7" s="32" t="n">
        <x:v>46286</x:v>
      </x:c>
      <x:c r="E7" s="31" t="n">
        <x:f>COUNTIFS(Backlog!$B$8:$B$28,A7)</x:f>
        <x:v>4</x:v>
      </x:c>
      <x:c r="F7" s="31" t="n">
        <x:f>SUMIFS(Backlog!$H$8:$H$28,Backlog!$B$8:$B$28,A7)</x:f>
        <x:v>7</x:v>
      </x:c>
      <x:c r="G7" s="34" t="n">
        <x:f>IF(E7=0,"n.a.",COUNTIFS(Backlog!$B$8:$B$28,A7,Backlog!$F$8:$F$28,"Concluído")/E7)</x:f>
        <x:v>0</x:v>
      </x:c>
      <x:c r="H7" s="14" t="str">
        <x:f>IF(G7=1,"Concluído",IF(COUNTIFS(Backlog!$B$8:$B$28,A7,Backlog!$F$8:$F$28,"Em andamento")&gt;0,"Em andamento","Não iniciado"))</x:f>
        <x:v>Não iniciado</x:v>
      </x:c>
      <x:c r="I7" s="30" t="str">
        <x:v>Fluxo precisa tratar erros sem expor dados.</x:v>
      </x:c>
      <x:c r="J7" s="30" t="str">
        <x:v>Cliente entra, sai e recupera acesso.</x:v>
      </x:c>
      <x:c r="K7" s="2"/>
      <x:c r="L7" s="2"/>
      <x:c r="M7" s="2"/>
      <x:c r="N7" s="2"/>
    </x:row>
    <x:row r="8" ht="42" hidden="0" customHeight="1">
      <x:c r="A8" s="14" t="str">
        <x:v>Área do usuário</x:v>
      </x:c>
      <x:c r="B8" s="30" t="str">
        <x:v>Entregar painel do cliente e histórico de agendamentos.</x:v>
      </x:c>
      <x:c r="C8" s="32" t="n">
        <x:v>46287</x:v>
      </x:c>
      <x:c r="D8" s="32" t="n">
        <x:v>46296</x:v>
      </x:c>
      <x:c r="E8" s="31" t="n">
        <x:f>COUNTIFS(Backlog!$B$8:$B$28,A8)</x:f>
        <x:v>4</x:v>
      </x:c>
      <x:c r="F8" s="31" t="n">
        <x:f>SUMIFS(Backlog!$H$8:$H$28,Backlog!$B$8:$B$28,A8)</x:f>
        <x:v>8</x:v>
      </x:c>
      <x:c r="G8" s="34" t="n">
        <x:f>IF(E8=0,"n.a.",COUNTIFS(Backlog!$B$8:$B$28,A8,Backlog!$F$8:$F$28,"Concluído")/E8)</x:f>
        <x:v>0</x:v>
      </x:c>
      <x:c r="H8" s="14" t="str">
        <x:f>IF(G8=1,"Concluído",IF(COUNTIFS(Backlog!$B$8:$B$28,A8,Backlog!$F$8:$F$28,"Em andamento")&gt;0,"Em andamento","Não iniciado"))</x:f>
        <x:v>Não iniciado</x:v>
      </x:c>
      <x:c r="I8" s="30" t="str">
        <x:v>Regra de cancelamento/remarcação precisa ser definida.</x:v>
      </x:c>
      <x:c r="J8" s="30" t="str">
        <x:v>Cliente consulta e gerencia seus horários.</x:v>
      </x:c>
      <x:c r="K8" s="2"/>
      <x:c r="L8" s="2"/>
      <x:c r="M8" s="2"/>
      <x:c r="N8" s="2"/>
    </x:row>
    <x:row r="9" ht="42" hidden="0" customHeight="1">
      <x:c r="A9" s="14" t="str">
        <x:v>Agendamento</x:v>
      </x:c>
      <x:c r="B9" s="30" t="str">
        <x:v>Conectar agenda ao usuário e validar disponibilidade.</x:v>
      </x:c>
      <x:c r="C9" s="32" t="n">
        <x:v>46297</x:v>
      </x:c>
      <x:c r="D9" s="32" t="n">
        <x:v>46303</x:v>
      </x:c>
      <x:c r="E9" s="31" t="n">
        <x:f>COUNTIFS(Backlog!$B$8:$B$28,A9)</x:f>
        <x:v>2</x:v>
      </x:c>
      <x:c r="F9" s="31" t="n">
        <x:f>SUMIFS(Backlog!$H$8:$H$28,Backlog!$B$8:$B$28,A9)</x:f>
        <x:v>5</x:v>
      </x:c>
      <x:c r="G9" s="34" t="n">
        <x:f>IF(E9=0,"n.a.",COUNTIFS(Backlog!$B$8:$B$28,A9,Backlog!$F$8:$F$28,"Concluído")/E9)</x:f>
        <x:v>0</x:v>
      </x:c>
      <x:c r="H9" s="14" t="str">
        <x:f>IF(G9=1,"Concluído",IF(COUNTIFS(Backlog!$B$8:$B$28,A9,Backlog!$F$8:$F$28,"Em andamento")&gt;0,"Em andamento","Não iniciado"))</x:f>
        <x:v>Não iniciado</x:v>
      </x:c>
      <x:c r="I9" s="30" t="str">
        <x:v>Disponibilidade real depende do modelo de horários.</x:v>
      </x:c>
      <x:c r="J9" s="30" t="str">
        <x:v>Agendamento evita conflito de horário.</x:v>
      </x:c>
      <x:c r="K9" s="2"/>
      <x:c r="L9" s="2"/>
      <x:c r="M9" s="2"/>
      <x:c r="N9" s="2"/>
    </x:row>
    <x:row r="10" ht="42" hidden="0" customHeight="1">
      <x:c r="A10" s="14" t="str">
        <x:v>Administração</x:v>
      </x:c>
      <x:c r="B10" s="30" t="str">
        <x:v>Dar controle da agenda para a equipe.</x:v>
      </x:c>
      <x:c r="C10" s="32" t="n">
        <x:v>46304</x:v>
      </x:c>
      <x:c r="D10" s="32" t="n">
        <x:v>46316</x:v>
      </x:c>
      <x:c r="E10" s="31" t="n">
        <x:f>COUNTIFS(Backlog!$B$8:$B$28,A10)</x:f>
        <x:v>4</x:v>
      </x:c>
      <x:c r="F10" s="31" t="n">
        <x:f>SUMIFS(Backlog!$H$8:$H$28,Backlog!$B$8:$B$28,A10)</x:f>
        <x:v>9</x:v>
      </x:c>
      <x:c r="G10" s="34" t="n">
        <x:f>IF(E10=0,"n.a.",COUNTIFS(Backlog!$B$8:$B$28,A10,Backlog!$F$8:$F$28,"Concluído")/E10)</x:f>
        <x:v>0</x:v>
      </x:c>
      <x:c r="H10" s="14" t="str">
        <x:f>IF(G10=1,"Concluído",IF(COUNTIFS(Backlog!$B$8:$B$28,A10,Backlog!$F$8:$F$28,"Em andamento")&gt;0,"Em andamento","Não iniciado"))</x:f>
        <x:v>Não iniciado</x:v>
      </x:c>
      <x:c r="I10" s="30" t="str">
        <x:v>Permissões precisam separar equipe e clientes.</x:v>
      </x:c>
      <x:c r="J10" s="30" t="str">
        <x:v>Equipe confirma, filtra e gerencia horários.</x:v>
      </x:c>
      <x:c r="K10" s="2"/>
      <x:c r="L10" s="2"/>
      <x:c r="M10" s="2"/>
      <x:c r="N10" s="2"/>
    </x:row>
    <x:row r="11" ht="42" hidden="0" customHeight="1">
      <x:c r="A11" s="14" t="str">
        <x:v>Comunicação</x:v>
      </x:c>
      <x:c r="B11" s="30" t="str">
        <x:v>Avisar cliente sobre confirmações e alterações.</x:v>
      </x:c>
      <x:c r="C11" s="32" t="n">
        <x:v>46317</x:v>
      </x:c>
      <x:c r="D11" s="32" t="n">
        <x:v>46318</x:v>
      </x:c>
      <x:c r="E11" s="31" t="n">
        <x:f>COUNTIFS(Backlog!$B$8:$B$28,A11)</x:f>
        <x:v>1</x:v>
      </x:c>
      <x:c r="F11" s="31" t="n">
        <x:f>SUMIFS(Backlog!$H$8:$H$28,Backlog!$B$8:$B$28,A11)</x:f>
        <x:v>2</x:v>
      </x:c>
      <x:c r="G11" s="34" t="n">
        <x:f>IF(E11=0,"n.a.",COUNTIFS(Backlog!$B$8:$B$28,A11,Backlog!$F$8:$F$28,"Concluído")/E11)</x:f>
        <x:v>0</x:v>
      </x:c>
      <x:c r="H11" s="14" t="str">
        <x:f>IF(G11=1,"Concluído",IF(COUNTIFS(Backlog!$B$8:$B$28,A11,Backlog!$F$8:$F$28,"Em andamento")&gt;0,"Em andamento","Não iniciado"))</x:f>
        <x:v>Não iniciado</x:v>
      </x:c>
      <x:c r="I11" s="30" t="str">
        <x:v>Depende de canal escolhido para envio.</x:v>
      </x:c>
      <x:c r="J11" s="30" t="str">
        <x:v>Cliente recebe informação clara do agendamento.</x:v>
      </x:c>
      <x:c r="K11" s="2"/>
      <x:c r="L11" s="2"/>
      <x:c r="M11" s="2"/>
      <x:c r="N11" s="2"/>
    </x:row>
    <x:row r="12" ht="42" hidden="0" customHeight="1">
      <x:c r="A12" s="14" t="str">
        <x:v>Segurança</x:v>
      </x:c>
      <x:c r="B12" s="30" t="str">
        <x:v>Fechar consentimento, privacidade e proteção de dados.</x:v>
      </x:c>
      <x:c r="C12" s="32" t="n">
        <x:v>46321</x:v>
      </x:c>
      <x:c r="D12" s="32" t="n">
        <x:v>46322</x:v>
      </x:c>
      <x:c r="E12" s="31" t="n">
        <x:f>COUNTIFS(Backlog!$B$8:$B$28,A12)</x:f>
        <x:v>1</x:v>
      </x:c>
      <x:c r="F12" s="31" t="n">
        <x:f>SUMIFS(Backlog!$H$8:$H$28,Backlog!$B$8:$B$28,A12)</x:f>
        <x:v>2</x:v>
      </x:c>
      <x:c r="G12" s="34" t="n">
        <x:f>IF(E12=0,"n.a.",COUNTIFS(Backlog!$B$8:$B$28,A12,Backlog!$F$8:$F$28,"Concluído")/E12)</x:f>
        <x:v>0</x:v>
      </x:c>
      <x:c r="H12" s="14" t="str">
        <x:f>IF(G12=1,"Concluído",IF(COUNTIFS(Backlog!$B$8:$B$28,A12,Backlog!$F$8:$F$28,"Em andamento")&gt;0,"Em andamento","Não iniciado"))</x:f>
        <x:v>Não iniciado</x:v>
      </x:c>
      <x:c r="I12" s="30" t="str">
        <x:v>Dados pessoais e tratamentos exigem cuidado.</x:v>
      </x:c>
      <x:c r="J12" s="30" t="str">
        <x:v>Formulários e páginas privadas ficam adequados.</x:v>
      </x:c>
      <x:c r="K12" s="2"/>
      <x:c r="L12" s="2"/>
      <x:c r="M12" s="2"/>
      <x:c r="N12" s="2"/>
    </x:row>
    <x:row r="13" ht="42" hidden="0" customHeight="1">
      <x:c r="A13" s="14" t="str">
        <x:v>Interface</x:v>
      </x:c>
      <x:c r="B13" s="30" t="str">
        <x:v>Ajustar navegação e padronizar marca.</x:v>
      </x:c>
      <x:c r="C13" s="32" t="n">
        <x:v>46323</x:v>
      </x:c>
      <x:c r="D13" s="32" t="n">
        <x:v>46323</x:v>
      </x:c>
      <x:c r="E13" s="31" t="n">
        <x:f>COUNTIFS(Backlog!$B$8:$B$28,A13)</x:f>
        <x:v>1</x:v>
      </x:c>
      <x:c r="F13" s="31" t="n">
        <x:f>SUMIFS(Backlog!$H$8:$H$28,Backlog!$B$8:$B$28,A13)</x:f>
        <x:v>1</x:v>
      </x:c>
      <x:c r="G13" s="34" t="n">
        <x:f>IF(E13=0,"n.a.",COUNTIFS(Backlog!$B$8:$B$28,A13,Backlog!$F$8:$F$28,"Concluído")/E13)</x:f>
        <x:v>0</x:v>
      </x:c>
      <x:c r="H13" s="14" t="str">
        <x:f>IF(G13=1,"Concluído",IF(COUNTIFS(Backlog!$B$8:$B$28,A13,Backlog!$F$8:$F$28,"Em andamento")&gt;0,"Em andamento","Não iniciado"))</x:f>
        <x:v>Não iniciado</x:v>
      </x:c>
      <x:c r="I13" s="30" t="str">
        <x:v>Textos atuais misturam marcas.</x:v>
      </x:c>
      <x:c r="J13" s="30" t="str">
        <x:v>Experiência fica coesa em todas as telas.</x:v>
      </x:c>
      <x:c r="K13" s="2"/>
      <x:c r="L13" s="2"/>
      <x:c r="M13" s="2"/>
      <x:c r="N13" s="2"/>
    </x:row>
    <x:row r="14" ht="42" hidden="0" customHeight="1">
      <x:c r="A14" s="14" t="str">
        <x:v>Qualidade</x:v>
      </x:c>
      <x:c r="B14" s="30" t="str">
        <x:v>Validar fluxos em desktop e celular.</x:v>
      </x:c>
      <x:c r="C14" s="32" t="n">
        <x:v>46324</x:v>
      </x:c>
      <x:c r="D14" s="32" t="n">
        <x:v>46325</x:v>
      </x:c>
      <x:c r="E14" s="31" t="n">
        <x:f>COUNTIFS(Backlog!$B$8:$B$28,A14)</x:f>
        <x:v>1</x:v>
      </x:c>
      <x:c r="F14" s="31" t="n">
        <x:f>SUMIFS(Backlog!$H$8:$H$28,Backlog!$B$8:$B$28,A14)</x:f>
        <x:v>2</x:v>
      </x:c>
      <x:c r="G14" s="34" t="n">
        <x:f>IF(E14=0,"n.a.",COUNTIFS(Backlog!$B$8:$B$28,A14,Backlog!$F$8:$F$28,"Concluído")/E14)</x:f>
        <x:v>0</x:v>
      </x:c>
      <x:c r="H14" s="14" t="str">
        <x:f>IF(G14=1,"Concluído",IF(COUNTIFS(Backlog!$B$8:$B$28,A14,Backlog!$F$8:$F$28,"Em andamento")&gt;0,"Em andamento","Não iniciado"))</x:f>
        <x:v>Não iniciado</x:v>
      </x:c>
      <x:c r="I14" s="30" t="str">
        <x:v>Erros de fluxo devem ser corrigidos antes do deploy.</x:v>
      </x:c>
      <x:c r="J14" s="30" t="str">
        <x:v>Checklist principal aprovado.</x:v>
      </x:c>
      <x:c r="K14" s="2"/>
      <x:c r="L14" s="2"/>
      <x:c r="M14" s="2"/>
      <x:c r="N14" s="2"/>
    </x:row>
    <x:row r="15" ht="42" hidden="0" customHeight="1">
      <x:c r="A15" s="14" t="str">
        <x:v>Publicação</x:v>
      </x:c>
      <x:c r="B15" s="30" t="str">
        <x:v>Publicar e definir backup.</x:v>
      </x:c>
      <x:c r="C15" s="32" t="n">
        <x:v>46328</x:v>
      </x:c>
      <x:c r="D15" s="32" t="n">
        <x:v>46328</x:v>
      </x:c>
      <x:c r="E15" s="31" t="n">
        <x:f>COUNTIFS(Backlog!$B$8:$B$28,A15)</x:f>
        <x:v>1</x:v>
      </x:c>
      <x:c r="F15" s="31" t="n">
        <x:f>SUMIFS(Backlog!$H$8:$H$28,Backlog!$B$8:$B$28,A15)</x:f>
        <x:v>1</x:v>
      </x:c>
      <x:c r="G15" s="34" t="n">
        <x:f>IF(E15=0,"n.a.",COUNTIFS(Backlog!$B$8:$B$28,A15,Backlog!$F$8:$F$28,"Concluído")/E15)</x:f>
        <x:v>0</x:v>
      </x:c>
      <x:c r="H15" s="14" t="str">
        <x:f>IF(G15=1,"Concluído",IF(COUNTIFS(Backlog!$B$8:$B$28,A15,Backlog!$F$8:$F$28,"Em andamento")&gt;0,"Em andamento","Não iniciado"))</x:f>
        <x:v>Não iniciado</x:v>
      </x:c>
      <x:c r="I15" s="30" t="str">
        <x:v>Precisa de ambiente e credenciais.</x:v>
      </x:c>
      <x:c r="J15" s="30" t="str">
        <x:v>Versão inicial disponível para uso.</x:v>
      </x:c>
      <x:c r="K15" s="2"/>
      <x:c r="L15" s="2"/>
      <x:c r="M15" s="2"/>
      <x:c r="N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H6:H15">
    <x:cfRule type="containsText" dxfId="15" priority="1" operator="containsText" text="Concluído"/>
    <x:cfRule type="containsText" dxfId="16" priority="2" operator="containsText" text="Em andamento"/>
    <x:cfRule type="containsText" dxfId="17" priority="3" operator="containsText" text="Aguardando decisão"/>
    <x:cfRule type="containsText" dxfId="18" priority="4" operator="containsText" text="Concluído"/>
    <x:cfRule type="containsText" dxfId="19" priority="5" operator="containsText" text="Em andamento"/>
    <x:cfRule type="containsText" dxfId="20" priority="6" operator="containsText" text="Aguardando decisão"/>
  </x:conditionalFormatting>
  <x:pageMargins left="0.7" right="0.7" top="0.75" bottom="0.75" header="0.3" footer="0.3"/>
  <x:tableParts count="1">
    <x:tablePart xmlns:r="http://schemas.openxmlformats.org/officeDocument/2006/relationships" r:id="Rbd37f04997594212"/>
  </x:tableParts>
</x:worksheet>
</file>

<file path=xl/worksheets/sheet4.xml><?xml version="1.0" encoding="utf-8"?>
<x:worksheet xmlns:x="http://schemas.openxmlformats.org/spreadsheetml/2006/main">
  <x:sheetPr>
    <x:tabColor rgb="FF9A8A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42" hidden="0" customWidth="1"/>
    <x:col min="4" max="4" width="6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16.799999237060547" hidden="0" customHeight="1">
      <x:c r="A2" s="3" t="str">
        <x:v>Inventário atual do projeto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5" hidden="0" customHeight="1">
      <x:c r="A3" s="4" t="str">
        <x:v>Leitura rápida dos arquivos encontrados e das lacunas principais.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8" t="str">
        <x:v>Item</x:v>
      </x:c>
      <x:c r="B5" s="9" t="str">
        <x:v>Situação</x:v>
      </x:c>
      <x:c r="C5" s="9" t="str">
        <x:v>Evidência</x:v>
      </x:c>
      <x:c r="D5" s="10" t="str">
        <x:v>Próxima ação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hidden="0" customHeight="1">
      <x:c r="A6" s="14" t="str">
        <x:v>Landing page</x:v>
      </x:c>
      <x:c r="B6" s="14" t="str">
        <x:v>Existente</x:v>
      </x:c>
      <x:c r="C6" s="14" t="str">
        <x:v>index.html</x:v>
      </x:c>
      <x:c r="D6" s="30" t="str">
        <x:v>Manter como entrada principal e adicionar links para login e cadastro.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0" hidden="0" customHeight="1">
      <x:c r="A7" s="14" t="str">
        <x:v>Formulário de agendamento na home</x:v>
      </x:c>
      <x:c r="B7" s="14" t="str">
        <x:v>Existente</x:v>
      </x:c>
      <x:c r="C7" s="14" t="str">
        <x:v>index.html e script/index.js</x:v>
      </x:c>
      <x:c r="D7" s="30" t="str">
        <x:v>Decidir se continua na home ou se redireciona para a página dedicada.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40" hidden="0" customHeight="1">
      <x:c r="A8" s="14" t="str">
        <x:v>Página dedicada de agendamento</x:v>
      </x:c>
      <x:c r="B8" s="14" t="str">
        <x:v>Existente</x:v>
      </x:c>
      <x:c r="C8" s="14" t="str">
        <x:v>agendamento.html e script/agendamento.js</x:v>
      </x:c>
      <x:c r="D8" s="30" t="str">
        <x:v>Integrar com usuário logado e disponibilidade real.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40" hidden="0" customHeight="1">
      <x:c r="A9" s="14" t="str">
        <x:v>Estilos</x:v>
      </x:c>
      <x:c r="B9" s="14" t="str">
        <x:v>Existente</x:v>
      </x:c>
      <x:c r="C9" s="14" t="str">
        <x:v>css/style.css e css/agendamento.css</x:v>
      </x:c>
      <x:c r="D9" s="30" t="str">
        <x:v>Reaproveitar padrão visual nas novas telas.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0" hidden="0" customHeight="1">
      <x:c r="A10" s="14" t="str">
        <x:v>Login</x:v>
      </x:c>
      <x:c r="B10" s="14" t="str">
        <x:v>Ausente</x:v>
      </x:c>
      <x:c r="C10" s="14" t="str">
        <x:v>Nenhum arquivo identificado</x:v>
      </x:c>
      <x:c r="D10" s="30" t="str">
        <x:v>Criar página ou rota protegida por autenticação.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40" hidden="0" customHeight="1">
      <x:c r="A11" s="14" t="str">
        <x:v>Cadastro</x:v>
      </x:c>
      <x:c r="B11" s="14" t="str">
        <x:v>Ausente</x:v>
      </x:c>
      <x:c r="C11" s="14" t="str">
        <x:v>Nenhum arquivo identificado</x:v>
      </x:c>
      <x:c r="D11" s="30" t="str">
        <x:v>Criar cadastro com validacao e aceite de privacidade.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40" hidden="0" customHeight="1">
      <x:c r="A12" s="14" t="str">
        <x:v>Área do usuário</x:v>
      </x:c>
      <x:c r="B12" s="14" t="str">
        <x:v>Ausente</x:v>
      </x:c>
      <x:c r="C12" s="14" t="str">
        <x:v>Nenhum arquivo identificado</x:v>
      </x:c>
      <x:c r="D12" s="30" t="str">
        <x:v>Criar painel com meus agendamentos e perfil.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40" hidden="0" customHeight="1">
      <x:c r="A13" s="14" t="str">
        <x:v>Administração</x:v>
      </x:c>
      <x:c r="B13" s="14" t="str">
        <x:v>Ausente</x:v>
      </x:c>
      <x:c r="C13" s="14" t="str">
        <x:v>Nenhum arquivo identificado</x:v>
      </x:c>
      <x:c r="D13" s="30" t="str">
        <x:v>Criar acesso da equipe para gerenciar solicitações.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40" hidden="0" customHeight="1">
      <x:c r="A14" s="14" t="str">
        <x:v>Banco de dados e regras de auth</x:v>
      </x:c>
      <x:c r="B14" s="14" t="str">
        <x:v>Não identificado</x:v>
      </x:c>
      <x:c r="C14" s="14" t="str">
        <x:v>Scripts usam window.dataSdk</x:v>
      </x:c>
      <x:c r="D14" s="30" t="str">
        <x:v>Definir persistência final, usuários, permissões e status da agenda.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40" hidden="0" customHeight="1">
      <x:c r="A15" s="14" t="str">
        <x:v>Padrão de marca</x:v>
      </x:c>
      <x:c r="B15" s="14" t="str">
        <x:v>Requer ajuste</x:v>
      </x:c>
      <x:c r="C15" s="14" t="str">
        <x:v>Textos usam Bela y Essência e Atelier Lumière</x:v>
      </x:c>
      <x:c r="D15" s="30" t="str">
        <x:v>Unificar nome, rodapé, confirmações e depoimentos.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conditionalFormatting sqref="B6:B15">
    <x:cfRule type="containsText" dxfId="21" priority="1" operator="containsText" text="Existente"/>
    <x:cfRule type="containsText" dxfId="22" priority="2" operator="containsText" text="Ausente"/>
    <x:cfRule type="containsText" dxfId="23" priority="3" operator="containsText" text="Requer ajuste"/>
    <x:cfRule type="containsText" dxfId="24" priority="4" operator="containsText" text="Não identificado"/>
    <x:cfRule type="containsText" dxfId="25" priority="5" operator="containsText" text="Existente"/>
    <x:cfRule type="containsText" dxfId="26" priority="6" operator="containsText" text="Ausente"/>
    <x:cfRule type="containsText" dxfId="27" priority="7" operator="containsText" text="Requer ajuste"/>
    <x:cfRule type="containsText" dxfId="28" priority="8" operator="containsText" text="Não identificado"/>
  </x:conditionalFormatting>
  <x:pageMargins left="0.7" right="0.7" top="0.75" bottom="0.75" header="0.3" footer="0.3"/>
  <x:tableParts count="1">
    <x:tablePart xmlns:r="http://schemas.openxmlformats.org/officeDocument/2006/relationships" r:id="R7cb348a8fea04d99"/>
  </x:tableParts>
</x:worksheet>
</file>